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564797351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软件报价单" sheetId="1" r:id="R9e17c5cfc82c40ac"/>
    <x:sheet xmlns:r="http://schemas.openxmlformats.org/officeDocument/2006/relationships" name="费用说明" sheetId="2" r:id="Ra656420496a8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7">
    <x:font>
      <x:sz val="11"/>
      <x:name val="Carlito"/>
    </x:font>
    <x:font>
      <x:b/>
      <x:sz val="18"/>
      <x:color rgb="FFFFFF"/>
      <x:name val="Carlito"/>
    </x:font>
    <x:font>
      <x:b/>
      <x:sz val="11"/>
      <x:color rgb="17365D"/>
      <x:name val="Carlito"/>
    </x:font>
    <x:font>
      <x:b/>
      <x:sz val="11"/>
      <x:color rgb="FFFFFF"/>
      <x:name val="Carlito"/>
    </x:font>
    <x:font>
      <x:b/>
      <x:sz val="11"/>
      <x:color rgb="7F6000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FFFFFF"/>
      </x:patternFill>
    </x:fill>
    <x:fill>
      <x:patternFill patternType="solid">
        <x:fgColor rgb="EAF3F8"/>
      </x:patternFill>
    </x:fill>
    <x:fill>
      <x:patternFill patternType="solid">
        <x:fgColor rgb="FFF2CC"/>
      </x:patternFill>
    </x:fill>
    <x:fill>
      <x:patternFill patternType="solid">
        <x:fgColor rgb="17365D"/>
      </x:patternFill>
    </x:fill>
    <x:fill>
      <x:patternFill patternType="solid">
        <x:fgColor rgb="F7FBFD"/>
      </x:patternFill>
    </x:fill>
    <x:fill>
      <x:patternFill patternType="solid">
        <x:fgColor rgb="E2F0D9"/>
      </x:patternFill>
    </x:fill>
    <x:fill>
      <x:patternFill patternType="solid">
        <x:fgColor rgb="F8FBFD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2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200" fontId="5" fillId="9" borderId="0" xfId="0" applyNumberFormat="1" applyFont="1" applyFill="1" applyBorder="1" applyAlignment="1">
      <x:alignment horizontal="right"/>
    </x:xf>
    <x:xf numFmtId="0" fontId="2" fillId="10" borderId="0" xfId="0" applyNumberFormat="1" applyFont="1" applyFill="1" applyBorder="1"/>
    <x:xf numFmtId="200" fontId="5" fillId="10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3" fillId="2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e1582dc484d75" /><Relationship Type="http://schemas.openxmlformats.org/officeDocument/2006/relationships/theme" Target="/xl/theme/theme1.xml" Id="R75c9778c4c8c4fc6" /><Relationship Type="http://schemas.openxmlformats.org/officeDocument/2006/relationships/sharedStrings" Target="/xl/sharedStrings.xml" Id="R1e43cc53c0ce4933" /><Relationship Type="http://schemas.openxmlformats.org/officeDocument/2006/relationships/worksheet" Target="/xl/worksheets/sheet1.xml" Id="R9e17c5cfc82c40ac" /><Relationship Type="http://schemas.openxmlformats.org/officeDocument/2006/relationships/worksheet" Target="/xl/worksheets/sheet2.xml" Id="Ra656420496a84215" /></Relationships>
</file>

<file path=xl/tables/table1.xml><?xml version="1.0" encoding="utf-8"?>
<x:table xmlns:x="http://schemas.openxmlformats.org/spreadsheetml/2006/main" id="1" name="QuoteItems" displayName="QuoteItems" ref="A7:I11" headerRowCount="1">
  <x:tableColumns count="9">
    <x:tableColumn id="1" name="序号"/>
    <x:tableColumn id="2" name="费用类型"/>
    <x:tableColumn id="3" name="项目名称"/>
    <x:tableColumn id="4" name="服务内容"/>
    <x:tableColumn id="5" name="计费周期"/>
    <x:tableColumn id="6" name="数量"/>
    <x:tableColumn id="7" name="单价"/>
    <x:tableColumn id="8" name="小计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8fb02949f641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2.789999961853027" hidden="0" customWidth="1"/>
    <x:col min="3" max="3" width="27.59000015258789" hidden="0" customWidth="1"/>
    <x:col min="4" max="4" width="41.04999923706055" hidden="0" customWidth="1"/>
    <x:col min="5" max="5" width="10.359999656677246" hidden="0" customWidth="1"/>
    <x:col min="6" max="6" width="7.670000076293945" hidden="0" customWidth="1"/>
    <x:col min="7" max="7" width="17.09000015258789" hidden="0" customWidth="1"/>
    <x:col min="8" max="8" width="14.130000114440918" hidden="0" customWidth="1"/>
    <x:col min="9" max="9" width="14.130000114440918" hidden="0" customWidth="1"/>
    <x:col min="10" max="10" width="2.559999942779541" hidden="0" customWidth="1"/>
    <x:col min="11" max="11" width="15.210000038146973" hidden="0" customWidth="1"/>
    <x:col min="12" max="12" width="12.520000457763672" hidden="0" customWidth="1"/>
    <x:col min="13" max="13" width="27.59000015258789" hidden="0" customWidth="1"/>
  </x:cols>
  <x:sheetData>
    <x:row r="1" ht="31.5" customHeight="1">
      <x:c r="A1" s="4" t="str">
        <x:v>出入库系统微信小程序功能报价单</x:v>
      </x:c>
    </x:row>
    <x:row r="3">
      <x:c r="A3" s="8" t="str">
        <x:v>客户名称</x:v>
      </x:c>
      <x:c r="B3" s="9" t="str">
        <x:v>________________</x:v>
      </x:c>
      <x:c r="C3" s="9" t="str"/>
      <x:c r="D3" s="9" t="str"/>
      <x:c r="E3" s="9" t="str"/>
      <x:c r="F3" s="8" t="str">
        <x:v>报价日期</x:v>
      </x:c>
      <x:c r="G3" s="9" t="str">
        <x:v>2026-05-21</x:v>
      </x:c>
      <x:c r="H3" s="9" t="str"/>
      <x:c r="I3" s="9" t="str"/>
      <x:c r="K3" s="29" t="str">
        <x:v>费用汇总</x:v>
      </x:c>
      <x:c r="L3" s="29"/>
      <x:c r="M3" s="29"/>
    </x:row>
    <x:row r="4">
      <x:c r="A4" s="8" t="str">
        <x:v>项目名称</x:v>
      </x:c>
      <x:c r="B4" s="9" t="str">
        <x:v>出入库系统微信小程序功能</x:v>
      </x:c>
      <x:c r="C4" s="9" t="str"/>
      <x:c r="D4" s="9" t="str"/>
      <x:c r="E4" s="9" t="str"/>
      <x:c r="F4" s="8" t="str">
        <x:v>报价有效期</x:v>
      </x:c>
      <x:c r="G4" s="9" t="str">
        <x:v>30天</x:v>
      </x:c>
      <x:c r="H4" s="9" t="str"/>
      <x:c r="I4" s="9" t="str"/>
      <x:c r="K4" s="35" t="str">
        <x:v>首年合计</x:v>
      </x:c>
      <x:c r="L4" s="36" t="n">
        <x:f>H14</x:f>
        <x:v>1600</x:v>
      </x:c>
      <x:c r="M4" s="37" t="str">
        <x:v>年费 + 开发服务费</x:v>
      </x:c>
    </x:row>
    <x:row r="5">
      <x:c r="A5" s="8" t="str">
        <x:v>报价编号</x:v>
      </x:c>
      <x:c r="B5" s="9" t="str">
        <x:v>WXMINI-20260521-001</x:v>
      </x:c>
      <x:c r="C5" s="9" t="str"/>
      <x:c r="D5" s="9" t="str"/>
      <x:c r="E5" s="9" t="str"/>
      <x:c r="F5" s="8" t="str">
        <x:v>币种</x:v>
      </x:c>
      <x:c r="G5" s="9" t="str">
        <x:v>人民币（元）</x:v>
      </x:c>
      <x:c r="H5" s="9" t="str"/>
      <x:c r="I5" s="9" t="str"/>
      <x:c r="K5" s="31" t="str">
        <x:v>年度续费合计</x:v>
      </x:c>
      <x:c r="L5" s="34" t="n">
        <x:f>H12</x:f>
        <x:v>1100</x:v>
      </x:c>
      <x:c r="M5" s="30" t="str">
        <x:v>域名/服务器/证书 + 认证</x:v>
      </x:c>
    </x:row>
    <x:row r="6">
      <x:c r="K6" s="31" t="str">
        <x:v>一次性开发服务费</x:v>
      </x:c>
      <x:c r="L6" s="34" t="n">
        <x:f>H13</x:f>
        <x:v>500</x:v>
      </x:c>
      <x:c r="M6" s="30" t="str">
        <x:v>仅首年收取</x:v>
      </x:c>
    </x:row>
    <x:row r="7" ht="31.5" customHeight="1">
      <x:c r="A7" s="13" t="str">
        <x:v>序号</x:v>
      </x:c>
      <x:c r="B7" s="13" t="str">
        <x:v>费用类型</x:v>
      </x:c>
      <x:c r="C7" s="13" t="str">
        <x:v>项目名称</x:v>
      </x:c>
      <x:c r="D7" s="13" t="str">
        <x:v>服务内容</x:v>
      </x:c>
      <x:c r="E7" s="13" t="str">
        <x:v>计费周期</x:v>
      </x:c>
      <x:c r="F7" s="13" t="str">
        <x:v>数量</x:v>
      </x:c>
      <x:c r="G7" s="13" t="str">
        <x:v>单价</x:v>
      </x:c>
      <x:c r="H7" s="13" t="str">
        <x:v>小计</x:v>
      </x:c>
      <x:c r="I7" s="13" t="str">
        <x:v>备注</x:v>
      </x:c>
      <x:c r="K7" s="31" t="str">
        <x:v>后续年度参考</x:v>
      </x:c>
      <x:c r="L7" s="34" t="n">
        <x:f>H15</x:f>
        <x:v>1100</x:v>
      </x:c>
      <x:c r="M7" s="30" t="str">
        <x:v>按实际续费政策执行</x:v>
      </x:c>
    </x:row>
    <x:row r="8" ht="31.5" customHeight="1">
      <x:c r="A8" s="17" t="n">
        <x:v>1</x:v>
      </x:c>
      <x:c r="B8" s="17" t="str">
        <x:v>年度费用</x:v>
      </x:c>
      <x:c r="C8" s="16" t="str">
        <x:v>域名/服务器/SSL证书年度服务包</x:v>
      </x:c>
      <x:c r="D8" s="16" t="str">
        <x:v>包含域名注册或续费、云服务器基础资源、SSL证书申请与部署</x:v>
      </x:c>
      <x:c r="E8" s="17" t="str">
        <x:v>年</x:v>
      </x:c>
      <x:c r="F8" s="17" t="n">
        <x:v>1</x:v>
      </x:c>
      <x:c r="G8" s="18" t="n">
        <x:v>800</x:v>
      </x:c>
      <x:c r="H8" s="18" t="n">
        <x:f>F8*G8</x:f>
        <x:v>800</x:v>
      </x:c>
      <x:c r="I8" s="16" t="str">
        <x:v>800元/年</x:v>
      </x:c>
    </x:row>
    <x:row r="9" ht="31.5" customHeight="1">
      <x:c r="A9" s="17" t="n">
        <x:v>2</x:v>
      </x:c>
      <x:c r="B9" s="17" t="str">
        <x:v>年度费用</x:v>
      </x:c>
      <x:c r="C9" s="16" t="str">
        <x:v>微信小程序认证费</x:v>
      </x:c>
      <x:c r="D9" s="16" t="str">
        <x:v>微信小程序主体认证/年审费用</x:v>
      </x:c>
      <x:c r="E9" s="17" t="str">
        <x:v>年</x:v>
      </x:c>
      <x:c r="F9" s="17" t="n">
        <x:v>1</x:v>
      </x:c>
      <x:c r="G9" s="18" t="n">
        <x:v>300</x:v>
      </x:c>
      <x:c r="H9" s="18" t="n">
        <x:f>F9*G9</x:f>
        <x:v>300</x:v>
      </x:c>
      <x:c r="I9" s="16" t="str">
        <x:v>300元/年</x:v>
      </x:c>
    </x:row>
    <x:row r="10" ht="31.5" customHeight="1">
      <x:c r="A10" s="17" t="n">
        <x:v>3</x:v>
      </x:c>
      <x:c r="B10" s="17" t="str">
        <x:v>一次性费用</x:v>
      </x:c>
      <x:c r="C10" s="16" t="str">
        <x:v>微信小程序开发服务费</x:v>
      </x:c>
      <x:c r="D10" s="16" t="str">
        <x:v>包含来源、运单号、数量、包装、件数录入，以及语音输入数字和大模型识别接口对接</x:v>
      </x:c>
      <x:c r="E10" s="17" t="str">
        <x:v>项</x:v>
      </x:c>
      <x:c r="F10" s="17" t="n">
        <x:v>1</x:v>
      </x:c>
      <x:c r="G10" s="18" t="n">
        <x:v>500</x:v>
      </x:c>
      <x:c r="H10" s="18" t="n">
        <x:f>F10*G10</x:f>
        <x:v>500</x:v>
      </x:c>
      <x:c r="I10" s="16" t="str">
        <x:v>一次性</x:v>
      </x:c>
    </x:row>
    <x:row r="11" ht="31.5" customHeight="1">
      <x:c r="A11" s="17" t="n">
        <x:v>4</x:v>
      </x:c>
      <x:c r="B11" s="17" t="str">
        <x:v>客户自费</x:v>
      </x:c>
      <x:c r="C11" s="16" t="str">
        <x:v>大模型识别接口调用费</x:v>
      </x:c>
      <x:c r="D11" s="16" t="str">
        <x:v>语音识别/数字识别涉及的大模型调用费用由客户自行开通并按量支付</x:v>
      </x:c>
      <x:c r="E11" s="17" t="str">
        <x:v>按量</x:v>
      </x:c>
      <x:c r="F11" s="17" t="n">
        <x:v>0</x:v>
      </x:c>
      <x:c r="G11" s="18" t="n">
        <x:v>0</x:v>
      </x:c>
      <x:c r="H11" s="18" t="n">
        <x:f>F11*G11</x:f>
        <x:v>0</x:v>
      </x:c>
      <x:c r="I11" s="16" t="str">
        <x:v>客户自费，不计入合计</x:v>
      </x:c>
    </x:row>
    <x:row r="12">
      <x:c r="G12" s="20" t="str">
        <x:v>年度费用小计</x:v>
      </x:c>
      <x:c r="H12" s="22" t="n">
        <x:f>SUMIF($B$8:$B$11,"年度费用",$H$8:$H$11)</x:f>
        <x:v>1100</x:v>
      </x:c>
    </x:row>
    <x:row r="13">
      <x:c r="G13" s="20" t="str">
        <x:v>一次性费用小计</x:v>
      </x:c>
      <x:c r="H13" s="22" t="n">
        <x:f>SUMIF($B$8:$B$11,"一次性费用",$H$8:$H$11)</x:f>
        <x:v>500</x:v>
      </x:c>
    </x:row>
    <x:row r="14">
      <x:c r="G14" s="25" t="str">
        <x:v>首年应付合计</x:v>
      </x:c>
      <x:c r="H14" s="26" t="n">
        <x:f>H12+H13</x:f>
        <x:v>1600</x:v>
      </x:c>
    </x:row>
    <x:row r="15">
      <x:c r="G15" s="20" t="str">
        <x:v>次年起年度续费参考</x:v>
      </x:c>
      <x:c r="H15" s="22" t="n">
        <x:f>H12</x:f>
        <x:v>1100</x:v>
      </x:c>
    </x:row>
    <x:row r="17" ht="19.5" customHeight="1">
      <x:c r="A17" s="38" t="str">
        <x:v>报价说明</x:v>
      </x:c>
      <x:c r="B17" t="str"/>
      <x:c r="C17" t="str"/>
      <x:c r="D17" t="str"/>
      <x:c r="E17" t="str"/>
      <x:c r="F17" t="str"/>
      <x:c r="G17" t="str"/>
      <x:c r="H17" t="str"/>
      <x:c r="I17" t="str"/>
    </x:row>
    <x:row r="18" ht="19.5" customHeight="1">
      <x:c r="A18" s="41" t="str">
        <x:v>1. 域名、服务器、SSL证书按 800 元/年计；微信小程序认证费按 300 元/年计。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</x:row>
    <x:row r="19" ht="19.5" customHeight="1">
      <x:c r="A19" s="41" t="str">
        <x:v>2. 开发服务费 500 元包含来源、运单号、数量、包装、件数录入、语音输入数字及大模型识别接口对接。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1" t="str"/>
    </x:row>
    <x:row r="20" ht="19.5" customHeight="1">
      <x:c r="A20" s="41" t="str">
        <x:v>3. 大模型识别接口调用费用由客户自费，按实际平台用量或账单结算，不计入本报价合计。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41" t="str"/>
    </x:row>
    <x:row r="21" ht="19.5" customHeight="1">
      <x:c r="A21" s="41" t="str">
        <x:v>4. 首年合计 = 年度费用小计 + 一次性费用小计；次年起参考年度续费合计。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41" t="str"/>
    </x:row>
    <x:row r="22" ht="19.5" customHeight="1">
      <x:c r="A22" s="41" t="str">
        <x:v>5. 本报价默认未含税；如需开票或额外第三方服务，费用另行确认。</x:v>
      </x:c>
      <x:c r="B22" s="41" t="str"/>
      <x:c r="C22" s="41" t="str"/>
      <x:c r="D22" s="41" t="str"/>
      <x:c r="E22" s="41" t="str"/>
      <x:c r="F22" s="41" t="str"/>
      <x:c r="G22" s="41" t="str"/>
      <x:c r="H22" s="41" t="str"/>
      <x:c r="I22" s="41" t="str"/>
    </x:row>
    <x:row r="23" ht="19.5" customHeight="1">
      <x:c r="A23" s="41" t="str">
        <x:v>确认签字：____________________        日期：____________________</x:v>
      </x:c>
      <x:c r="B23" s="41" t="str"/>
      <x:c r="C23" s="41" t="str"/>
      <x:c r="D23" s="41" t="str"/>
      <x:c r="E23" s="41" t="str"/>
      <x:c r="F23" s="41" t="str"/>
      <x:c r="G23" s="41" t="str"/>
      <x:c r="H23" s="41" t="str"/>
      <x:c r="I23" s="41" t="str"/>
    </x:row>
  </x:sheetData>
  <x:mergeCells>
    <x:mergeCell ref="A1:I1"/>
    <x:mergeCell ref="B3:D3"/>
    <x:mergeCell ref="B4:D4"/>
    <x:mergeCell ref="B5:D5"/>
    <x:mergeCell ref="G3:I3"/>
    <x:mergeCell ref="G4:I4"/>
    <x:mergeCell ref="G5:I5"/>
    <x:mergeCell ref="K3:M3"/>
    <x:mergeCell ref="A17:I17"/>
    <x:mergeCell ref="A18:I18"/>
    <x:mergeCell ref="A19:I19"/>
    <x:mergeCell ref="A20:I20"/>
    <x:mergeCell ref="A21:I21"/>
    <x:mergeCell ref="A22:I22"/>
    <x:mergeCell ref="A23:I23"/>
  </x:mergeCells>
  <x:pageMargins left="0.7" right="0.7" top="0.75" bottom="0.75" header="0.3" footer="0.3"/>
  <x:tableParts count="1">
    <x:tablePart xmlns:r="http://schemas.openxmlformats.org/officeDocument/2006/relationships" r:id="Rdc8fb02949f641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42.400001525878906" hidden="0" customWidth="1"/>
    <x:col min="3" max="3" width="11.4399995803833" hidden="0" customWidth="1"/>
    <x:col min="4" max="4" width="61.2400016784668" hidden="0" customWidth="1"/>
  </x:cols>
  <x:sheetData>
    <x:row r="1">
      <x:c r="A1" s="43" t="str">
        <x:v>费用说明与假设</x:v>
      </x:c>
    </x:row>
    <x:row r="3" ht="24" customHeight="1">
      <x:c r="A3" s="12" t="str">
        <x:v>费用项</x:v>
      </x:c>
      <x:c r="B3" s="12" t="str">
        <x:v>金额</x:v>
      </x:c>
      <x:c r="C3" s="12" t="str">
        <x:v>周期</x:v>
      </x:c>
      <x:c r="D3" s="12" t="str">
        <x:v>说明</x:v>
      </x:c>
    </x:row>
    <x:row r="4" ht="24" customHeight="1">
      <x:c r="A4" s="45" t="str">
        <x:v>域名/服务器/SSL证书</x:v>
      </x:c>
      <x:c r="B4" s="47" t="n">
        <x:v>800</x:v>
      </x:c>
      <x:c r="C4" s="45" t="str">
        <x:v>年</x:v>
      </x:c>
      <x:c r="D4" s="45" t="str">
        <x:v>域名服务器证书合并计价，按年续费</x:v>
      </x:c>
    </x:row>
    <x:row r="5" ht="24" customHeight="1">
      <x:c r="A5" s="45" t="str">
        <x:v>微信小程序认证费</x:v>
      </x:c>
      <x:c r="B5" s="47" t="n">
        <x:v>300</x:v>
      </x:c>
      <x:c r="C5" s="45" t="str">
        <x:v>年</x:v>
      </x:c>
      <x:c r="D5" s="45" t="str">
        <x:v>微信平台认证/年审相关费用</x:v>
      </x:c>
    </x:row>
    <x:row r="6" ht="24" customHeight="1">
      <x:c r="A6" s="45" t="str">
        <x:v>开发服务费</x:v>
      </x:c>
      <x:c r="B6" s="47" t="n">
        <x:v>500</x:v>
      </x:c>
      <x:c r="C6" s="45" t="str">
        <x:v>一次性</x:v>
      </x:c>
      <x:c r="D6" s="45" t="str">
        <x:v>含来源、运单号、数量、包装、件数、语音输入数字及大模型识别接口对接</x:v>
      </x:c>
    </x:row>
    <x:row r="7" ht="24" customHeight="1"/>
    <x:row r="8" ht="24" customHeight="1">
      <x:c r="A8" s="51" t="str">
        <x:v>交付内容</x:v>
      </x:c>
      <x:c r="B8" s="52" t="str">
        <x:v>微信小程序出入库功能报价清单、来源/运单号/数量/包装/件数录入、语音输入数字、大模型识别接口对接、部署协助</x:v>
      </x:c>
      <x:c r="C8" s="52" t="str"/>
      <x:c r="D8" s="52" t="str"/>
    </x:row>
    <x:row r="9" ht="24" customHeight="1">
      <x:c r="A9" s="51" t="str">
        <x:v>不包含内容</x:v>
      </x:c>
      <x:c r="B9" s="52" t="str">
        <x:v>复杂定制、硬件设备、短信/地图/支付等第三方接口费用；大模型调用费用由客户自费</x:v>
      </x:c>
      <x:c r="C9" s="52" t="str"/>
      <x:c r="D9" s="52" t="str"/>
    </x:row>
    <x:row r="10" ht="24" customHeight="1">
      <x:c r="A10" s="51" t="str">
        <x:v>付款建议</x:v>
      </x:c>
      <x:c r="B10" s="52" t="str">
        <x:v>首年费用建议一次性支付；年度费用到期前续费</x:v>
      </x:c>
      <x:c r="C10" s="52" t="str"/>
      <x:c r="D10" s="52" t="str"/>
    </x:row>
    <x:row r="11" ht="24" customHeight="1">
      <x:c r="A11" s="51" t="str">
        <x:v>备注</x:v>
      </x:c>
      <x:c r="B11" s="52" t="str">
        <x:v>费用可按实际采购发票或平台政策变化调整</x:v>
      </x:c>
      <x:c r="C11" s="52" t="str"/>
      <x:c r="D11" s="52" t="str"/>
    </x:row>
  </x:sheetData>
  <x:mergeCells>
    <x:mergeCell ref="A1:D1"/>
  </x:mergeCells>
  <x:pageMargins left="0.7" right="0.7" top="0.75" bottom="0.75" header="0.3" footer="0.3"/>
</x:worksheet>
</file>